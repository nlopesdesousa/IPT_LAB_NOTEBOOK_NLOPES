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ssialopes/Documents/EPFL/IPT/Kinetic_Voltmeter/experience rebond/"/>
    </mc:Choice>
  </mc:AlternateContent>
  <xr:revisionPtr revIDLastSave="0" documentId="13_ncr:1_{0E5143C4-D403-B340-B5E9-BAA602FF4AD4}" xr6:coauthVersionLast="47" xr6:coauthVersionMax="47" xr10:uidLastSave="{00000000-0000-0000-0000-000000000000}"/>
  <bookViews>
    <workbookView xWindow="3900" yWindow="6680" windowWidth="25020" windowHeight="17060" xr2:uid="{C767D6A9-C30B-9D4F-8DD2-2AC8753F251B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9" i="1" l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68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K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49" i="1"/>
  <c r="H29" i="1"/>
  <c r="D63" i="1"/>
  <c r="D51" i="1"/>
  <c r="D52" i="1"/>
  <c r="D53" i="1"/>
  <c r="D54" i="1"/>
  <c r="D55" i="1"/>
  <c r="D56" i="1"/>
  <c r="D57" i="1"/>
  <c r="D58" i="1"/>
  <c r="D59" i="1"/>
  <c r="D60" i="1"/>
  <c r="D61" i="1"/>
  <c r="D62" i="1"/>
  <c r="D50" i="1"/>
  <c r="D49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J10" i="1"/>
  <c r="J5" i="1"/>
  <c r="H11" i="1"/>
  <c r="H10" i="1"/>
  <c r="F11" i="1"/>
  <c r="B11" i="1"/>
  <c r="D11" i="1"/>
  <c r="E6" i="1"/>
  <c r="B6" i="1"/>
  <c r="D6" i="1"/>
  <c r="F6" i="1" s="1"/>
  <c r="H6" i="1" s="1"/>
  <c r="G25" i="1"/>
  <c r="B25" i="1"/>
  <c r="D25" i="1"/>
  <c r="F25" i="1" s="1"/>
  <c r="H25" i="1" s="1"/>
  <c r="E44" i="1"/>
  <c r="E45" i="1"/>
  <c r="B45" i="1"/>
  <c r="B44" i="1"/>
  <c r="D45" i="1"/>
  <c r="F45" i="1" s="1"/>
  <c r="H45" i="1" s="1"/>
  <c r="D44" i="1"/>
  <c r="C40" i="1"/>
  <c r="C41" i="1"/>
  <c r="C42" i="1"/>
  <c r="C43" i="1"/>
  <c r="E41" i="1"/>
  <c r="E42" i="1"/>
  <c r="E43" i="1"/>
  <c r="B43" i="1"/>
  <c r="B42" i="1"/>
  <c r="B41" i="1"/>
  <c r="D43" i="1"/>
  <c r="D42" i="1"/>
  <c r="D41" i="1"/>
  <c r="E40" i="1"/>
  <c r="B40" i="1"/>
  <c r="D40" i="1"/>
  <c r="F40" i="1" s="1"/>
  <c r="D39" i="1"/>
  <c r="E39" i="1"/>
  <c r="C39" i="1"/>
  <c r="B39" i="1"/>
  <c r="C38" i="1"/>
  <c r="E38" i="1"/>
  <c r="D38" i="1"/>
  <c r="B38" i="1"/>
  <c r="E31" i="1"/>
  <c r="E32" i="1"/>
  <c r="E33" i="1"/>
  <c r="E34" i="1"/>
  <c r="E35" i="1"/>
  <c r="E36" i="1"/>
  <c r="E37" i="1"/>
  <c r="C31" i="1"/>
  <c r="C32" i="1"/>
  <c r="C33" i="1"/>
  <c r="C34" i="1"/>
  <c r="C35" i="1"/>
  <c r="C36" i="1"/>
  <c r="C37" i="1"/>
  <c r="B37" i="1"/>
  <c r="B36" i="1"/>
  <c r="F36" i="1" s="1"/>
  <c r="H36" i="1" s="1"/>
  <c r="B35" i="1"/>
  <c r="B34" i="1"/>
  <c r="B33" i="1"/>
  <c r="B32" i="1"/>
  <c r="B31" i="1"/>
  <c r="D37" i="1"/>
  <c r="D36" i="1"/>
  <c r="D35" i="1"/>
  <c r="D34" i="1"/>
  <c r="D33" i="1"/>
  <c r="D32" i="1"/>
  <c r="D31" i="1"/>
  <c r="D30" i="1"/>
  <c r="E30" i="1"/>
  <c r="C30" i="1"/>
  <c r="E29" i="1"/>
  <c r="C29" i="1"/>
  <c r="B30" i="1"/>
  <c r="D29" i="1"/>
  <c r="B29" i="1"/>
  <c r="E24" i="1"/>
  <c r="C24" i="1"/>
  <c r="G24" i="1"/>
  <c r="D24" i="1"/>
  <c r="B24" i="1"/>
  <c r="C22" i="1"/>
  <c r="C23" i="1"/>
  <c r="E22" i="1"/>
  <c r="E23" i="1"/>
  <c r="G22" i="1"/>
  <c r="G23" i="1"/>
  <c r="D23" i="1"/>
  <c r="B23" i="1"/>
  <c r="D22" i="1"/>
  <c r="B22" i="1"/>
  <c r="G21" i="1"/>
  <c r="G20" i="1"/>
  <c r="G19" i="1"/>
  <c r="G18" i="1"/>
  <c r="G17" i="1"/>
  <c r="G16" i="1"/>
  <c r="E21" i="1"/>
  <c r="E20" i="1"/>
  <c r="E19" i="1"/>
  <c r="E18" i="1"/>
  <c r="E17" i="1"/>
  <c r="E16" i="1"/>
  <c r="C17" i="1"/>
  <c r="C18" i="1"/>
  <c r="C19" i="1"/>
  <c r="C20" i="1"/>
  <c r="C21" i="1"/>
  <c r="C16" i="1"/>
  <c r="D21" i="1"/>
  <c r="B21" i="1"/>
  <c r="D20" i="1"/>
  <c r="B20" i="1"/>
  <c r="D19" i="1"/>
  <c r="B19" i="1"/>
  <c r="D18" i="1"/>
  <c r="B18" i="1"/>
  <c r="D17" i="1"/>
  <c r="B17" i="1"/>
  <c r="D16" i="1"/>
  <c r="B16" i="1"/>
  <c r="D10" i="1"/>
  <c r="B10" i="1"/>
  <c r="E10" i="1"/>
  <c r="C10" i="1"/>
  <c r="E5" i="1"/>
  <c r="C5" i="1"/>
  <c r="D5" i="1"/>
  <c r="B5" i="1"/>
  <c r="F33" i="1" l="1"/>
  <c r="F38" i="1"/>
  <c r="F43" i="1"/>
  <c r="F32" i="1"/>
  <c r="F23" i="1"/>
  <c r="H23" i="1" s="1"/>
  <c r="I33" i="1"/>
  <c r="H33" i="1"/>
  <c r="I32" i="1"/>
  <c r="H32" i="1"/>
  <c r="F34" i="1"/>
  <c r="H34" i="1" s="1"/>
  <c r="J33" i="1" s="1"/>
  <c r="F39" i="1"/>
  <c r="I39" i="1" s="1"/>
  <c r="F21" i="1"/>
  <c r="I21" i="1" s="1"/>
  <c r="F30" i="1"/>
  <c r="F37" i="1"/>
  <c r="I37" i="1" s="1"/>
  <c r="I25" i="1"/>
  <c r="F31" i="1"/>
  <c r="H31" i="1" s="1"/>
  <c r="F24" i="1"/>
  <c r="F35" i="1"/>
  <c r="F42" i="1"/>
  <c r="H42" i="1" s="1"/>
  <c r="F44" i="1"/>
  <c r="H44" i="1" s="1"/>
  <c r="H40" i="1"/>
  <c r="I40" i="1"/>
  <c r="H35" i="1"/>
  <c r="I35" i="1"/>
  <c r="I30" i="1"/>
  <c r="H30" i="1"/>
  <c r="I24" i="1"/>
  <c r="H24" i="1"/>
  <c r="J23" i="1" s="1"/>
  <c r="I38" i="1"/>
  <c r="H38" i="1"/>
  <c r="H43" i="1"/>
  <c r="I43" i="1"/>
  <c r="F41" i="1"/>
  <c r="I36" i="1"/>
  <c r="F22" i="1"/>
  <c r="F19" i="1"/>
  <c r="F20" i="1"/>
  <c r="F16" i="1"/>
  <c r="F29" i="1"/>
  <c r="F5" i="1"/>
  <c r="F17" i="1"/>
  <c r="F18" i="1"/>
  <c r="F10" i="1"/>
  <c r="L10" i="1" s="1"/>
  <c r="I42" i="1" l="1"/>
  <c r="H5" i="1"/>
  <c r="L5" i="1" s="1"/>
  <c r="H39" i="1"/>
  <c r="J38" i="1" s="1"/>
  <c r="I23" i="1"/>
  <c r="J31" i="1"/>
  <c r="I31" i="1"/>
  <c r="H21" i="1"/>
  <c r="J24" i="1"/>
  <c r="H37" i="1"/>
  <c r="J36" i="1" s="1"/>
  <c r="I34" i="1"/>
  <c r="J32" i="1"/>
  <c r="H19" i="1"/>
  <c r="I19" i="1"/>
  <c r="J29" i="1"/>
  <c r="I29" i="1"/>
  <c r="H16" i="1"/>
  <c r="I16" i="1"/>
  <c r="H41" i="1"/>
  <c r="J40" i="1" s="1"/>
  <c r="I41" i="1"/>
  <c r="H18" i="1"/>
  <c r="I18" i="1"/>
  <c r="H20" i="1"/>
  <c r="I20" i="1"/>
  <c r="H22" i="1"/>
  <c r="I22" i="1"/>
  <c r="J34" i="1"/>
  <c r="J35" i="1"/>
  <c r="H17" i="1"/>
  <c r="J16" i="1" s="1"/>
  <c r="I17" i="1"/>
  <c r="J42" i="1"/>
  <c r="J30" i="1"/>
  <c r="J39" i="1"/>
  <c r="J37" i="1" l="1"/>
  <c r="J19" i="1"/>
  <c r="J18" i="1"/>
  <c r="L29" i="1"/>
  <c r="J41" i="1"/>
  <c r="J21" i="1"/>
  <c r="J22" i="1"/>
  <c r="J17" i="1"/>
  <c r="J20" i="1"/>
  <c r="L16" i="1" l="1"/>
</calcChain>
</file>

<file path=xl/sharedStrings.xml><?xml version="1.0" encoding="utf-8"?>
<sst xmlns="http://schemas.openxmlformats.org/spreadsheetml/2006/main" count="123" uniqueCount="51">
  <si>
    <t>1.</t>
  </si>
  <si>
    <t>2.</t>
  </si>
  <si>
    <t>AA2</t>
  </si>
  <si>
    <t>Expérience 1</t>
  </si>
  <si>
    <t>h_n (hauteur rebond)</t>
  </si>
  <si>
    <t>e_n (coeff résitution)</t>
  </si>
  <si>
    <t>e (coeff résittution total)</t>
  </si>
  <si>
    <t>T_n (temps de rebond)</t>
  </si>
  <si>
    <t>∆T_n</t>
  </si>
  <si>
    <t>∆h_n</t>
  </si>
  <si>
    <t>∆e_n</t>
  </si>
  <si>
    <t>∆e</t>
  </si>
  <si>
    <t>Expérience 2</t>
  </si>
  <si>
    <t xml:space="preserve">2. </t>
  </si>
  <si>
    <t>constantes</t>
  </si>
  <si>
    <t>g</t>
  </si>
  <si>
    <t>nombre de rebond : 2+-1</t>
  </si>
  <si>
    <t>3.</t>
  </si>
  <si>
    <t>t_1</t>
  </si>
  <si>
    <t>t_2</t>
  </si>
  <si>
    <t>∆t_1</t>
  </si>
  <si>
    <t>∆t_2</t>
  </si>
  <si>
    <t>AA16</t>
  </si>
  <si>
    <t>(1 rebond)</t>
  </si>
  <si>
    <t>hauteur finale</t>
  </si>
  <si>
    <t>4.</t>
  </si>
  <si>
    <t>5.</t>
  </si>
  <si>
    <t>6.</t>
  </si>
  <si>
    <t>Remarque</t>
  </si>
  <si>
    <t xml:space="preserve">on choisi de prendre le nombre de rebond selon la vidéo, on défini le seuil à </t>
  </si>
  <si>
    <t>7.</t>
  </si>
  <si>
    <t>8.</t>
  </si>
  <si>
    <t xml:space="preserve">9. </t>
  </si>
  <si>
    <t>9.</t>
  </si>
  <si>
    <t>10.</t>
  </si>
  <si>
    <t xml:space="preserve">11. </t>
  </si>
  <si>
    <t xml:space="preserve">12. </t>
  </si>
  <si>
    <t>13.</t>
  </si>
  <si>
    <t>14.</t>
  </si>
  <si>
    <t>15.</t>
  </si>
  <si>
    <t>16.</t>
  </si>
  <si>
    <t>AA15</t>
  </si>
  <si>
    <t>t pic</t>
  </si>
  <si>
    <t>11.</t>
  </si>
  <si>
    <t>12.</t>
  </si>
  <si>
    <t>∆t</t>
  </si>
  <si>
    <t>T_n</t>
  </si>
  <si>
    <t>h_n (m)</t>
  </si>
  <si>
    <t>h_n (cm)</t>
  </si>
  <si>
    <t xml:space="preserve">e_n 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</si>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</sst>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00"/>
    <numFmt numFmtId="166" formatCode="0.000000"/>
  </numFmts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7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0" fillId="2" borderId="0" xfId="0" applyFill="1"/>
    <xf numFmtId="165" fontId="0" fillId="2" borderId="0" xfId="0" applyNumberFormat="1" applyFill="1"/>
    <xf numFmtId="164" fontId="0" fillId="2" borderId="0" xfId="0" applyNumberFormat="1" applyFill="1"/>
    <xf numFmtId="166" fontId="0" fillId="2" borderId="0" xfId="0" applyNumberFormat="1" applyFill="1"/>
    <xf numFmtId="0" fontId="0" fillId="0" borderId="0" xfId="0" applyFill="1"/>
    <xf numFmtId="164" fontId="0" fillId="0" borderId="0" xfId="0" applyNumberFormat="1" applyFill="1"/>
    <xf numFmtId="166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82882-B098-F64D-897F-759D6CC93FF0}">
  <dimension ref="A2:P84"/>
  <sheetViews>
    <sheetView tabSelected="1" topLeftCell="A44" zoomScale="75" workbookViewId="0">
      <selection activeCell="A75" sqref="A75"/>
    </sheetView>
  </sheetViews>
  <sheetFormatPr baseColWidth="10" defaultRowHeight="16" x14ac:dyDescent="0.2"/>
  <cols>
    <col min="1" max="23" width="20.83203125" customWidth="1"/>
  </cols>
  <sheetData>
    <row r="2" spans="1:16" x14ac:dyDescent="0.2">
      <c r="A2" t="s">
        <v>2</v>
      </c>
      <c r="O2" t="s">
        <v>14</v>
      </c>
    </row>
    <row r="3" spans="1:16" x14ac:dyDescent="0.2">
      <c r="A3" t="s">
        <v>3</v>
      </c>
      <c r="B3" t="s">
        <v>23</v>
      </c>
      <c r="O3" t="s">
        <v>15</v>
      </c>
      <c r="P3">
        <v>9.81</v>
      </c>
    </row>
    <row r="4" spans="1:16" x14ac:dyDescent="0.2">
      <c r="B4" t="s">
        <v>18</v>
      </c>
      <c r="C4" t="s">
        <v>20</v>
      </c>
      <c r="D4" t="s">
        <v>19</v>
      </c>
      <c r="E4" t="s">
        <v>21</v>
      </c>
      <c r="F4" t="s">
        <v>7</v>
      </c>
      <c r="G4" t="s">
        <v>8</v>
      </c>
      <c r="H4" t="s">
        <v>4</v>
      </c>
      <c r="I4" t="s">
        <v>9</v>
      </c>
      <c r="J4" t="s">
        <v>5</v>
      </c>
      <c r="K4" t="s">
        <v>10</v>
      </c>
      <c r="L4" t="s">
        <v>6</v>
      </c>
      <c r="M4" t="s">
        <v>11</v>
      </c>
      <c r="O4" t="s">
        <v>24</v>
      </c>
      <c r="P4">
        <v>0</v>
      </c>
    </row>
    <row r="5" spans="1:16" x14ac:dyDescent="0.2">
      <c r="A5" s="5" t="s">
        <v>0</v>
      </c>
      <c r="B5" s="5">
        <f>48008*10^-5</f>
        <v>0.48008000000000006</v>
      </c>
      <c r="C5" s="5">
        <f>10^-4</f>
        <v>1E-4</v>
      </c>
      <c r="D5" s="5">
        <f>54974*10^-5</f>
        <v>0.54974000000000001</v>
      </c>
      <c r="E5" s="5">
        <f>10^-4</f>
        <v>1E-4</v>
      </c>
      <c r="F5" s="5">
        <f>D5-B5</f>
        <v>6.9659999999999944E-2</v>
      </c>
      <c r="G5" s="5"/>
      <c r="H5" s="5">
        <f>0.5*9.81*((F5*0.5)^2)</f>
        <v>5.950397254499991E-3</v>
      </c>
      <c r="I5" s="5"/>
      <c r="J5" s="5">
        <f>SQRT(H6/H5)</f>
        <v>0.33864484639678466</v>
      </c>
      <c r="L5">
        <f>J5</f>
        <v>0.33864484639678466</v>
      </c>
    </row>
    <row r="6" spans="1:16" x14ac:dyDescent="0.2">
      <c r="A6" t="s">
        <v>1</v>
      </c>
      <c r="B6">
        <f>54974*10^-5</f>
        <v>0.54974000000000001</v>
      </c>
      <c r="D6">
        <f>57333*10^-5</f>
        <v>0.57333000000000001</v>
      </c>
      <c r="E6">
        <f>10^-4</f>
        <v>1E-4</v>
      </c>
      <c r="F6">
        <f>D6-B6</f>
        <v>2.359E-2</v>
      </c>
      <c r="H6">
        <f>0.5*9.81*((F6*0.5)^2)</f>
        <v>6.8239353262499998E-4</v>
      </c>
    </row>
    <row r="8" spans="1:16" x14ac:dyDescent="0.2">
      <c r="A8" t="s">
        <v>12</v>
      </c>
      <c r="B8" t="s">
        <v>23</v>
      </c>
      <c r="F8" t="s">
        <v>16</v>
      </c>
    </row>
    <row r="9" spans="1:16" x14ac:dyDescent="0.2">
      <c r="F9" t="s">
        <v>7</v>
      </c>
      <c r="G9" t="s">
        <v>8</v>
      </c>
      <c r="H9" t="s">
        <v>4</v>
      </c>
      <c r="I9" t="s">
        <v>9</v>
      </c>
      <c r="J9" t="s">
        <v>5</v>
      </c>
      <c r="K9" t="s">
        <v>10</v>
      </c>
      <c r="L9" t="s">
        <v>6</v>
      </c>
      <c r="M9" t="s">
        <v>11</v>
      </c>
    </row>
    <row r="10" spans="1:16" x14ac:dyDescent="0.2">
      <c r="A10" s="5" t="s">
        <v>0</v>
      </c>
      <c r="B10" s="5">
        <f>52174*10^-5</f>
        <v>0.52174000000000009</v>
      </c>
      <c r="C10" s="5">
        <f>10^-4</f>
        <v>1E-4</v>
      </c>
      <c r="D10" s="5">
        <f>59754*10^-5</f>
        <v>0.59754000000000007</v>
      </c>
      <c r="E10" s="5">
        <f>10^-4</f>
        <v>1E-4</v>
      </c>
      <c r="F10" s="5">
        <f>D10-B10</f>
        <v>7.5799999999999979E-2</v>
      </c>
      <c r="G10" s="5"/>
      <c r="H10" s="5">
        <f>0.5*9.81*((F10*0.5)^2)</f>
        <v>7.0455910499999967E-3</v>
      </c>
      <c r="I10" s="5"/>
      <c r="J10" s="5">
        <f>SQRT(H11/H10)</f>
        <v>0.33957783641160938</v>
      </c>
      <c r="L10">
        <f>J10</f>
        <v>0.33957783641160938</v>
      </c>
    </row>
    <row r="11" spans="1:16" x14ac:dyDescent="0.2">
      <c r="A11" t="s">
        <v>1</v>
      </c>
      <c r="B11">
        <f>59754*10^-5</f>
        <v>0.59754000000000007</v>
      </c>
      <c r="D11">
        <f>62328*10^-5</f>
        <v>0.62328000000000006</v>
      </c>
      <c r="F11">
        <f>D11-B11</f>
        <v>2.5739999999999985E-2</v>
      </c>
      <c r="H11">
        <f>0.5*9.81*((F11*0.5)^2)</f>
        <v>8.1244899449999907E-4</v>
      </c>
    </row>
    <row r="13" spans="1:16" x14ac:dyDescent="0.2">
      <c r="A13" t="s">
        <v>22</v>
      </c>
      <c r="O13" t="s">
        <v>28</v>
      </c>
    </row>
    <row r="14" spans="1:16" x14ac:dyDescent="0.2">
      <c r="A14" t="s">
        <v>3</v>
      </c>
      <c r="O14" t="s">
        <v>29</v>
      </c>
    </row>
    <row r="15" spans="1:16" x14ac:dyDescent="0.2">
      <c r="F15" t="s">
        <v>7</v>
      </c>
      <c r="G15" t="s">
        <v>8</v>
      </c>
      <c r="H15" t="s">
        <v>4</v>
      </c>
      <c r="I15" t="s">
        <v>9</v>
      </c>
      <c r="J15" t="s">
        <v>5</v>
      </c>
      <c r="K15" t="s">
        <v>10</v>
      </c>
      <c r="L15" t="s">
        <v>6</v>
      </c>
      <c r="M15" t="s">
        <v>11</v>
      </c>
    </row>
    <row r="16" spans="1:16" x14ac:dyDescent="0.2">
      <c r="A16" t="s">
        <v>0</v>
      </c>
      <c r="B16">
        <f>52613*10^-5</f>
        <v>0.5261300000000001</v>
      </c>
      <c r="C16">
        <f>10^-4</f>
        <v>1E-4</v>
      </c>
      <c r="D16">
        <f>71873*10^-5</f>
        <v>0.71873000000000009</v>
      </c>
      <c r="E16">
        <f>10^-4</f>
        <v>1E-4</v>
      </c>
      <c r="F16" s="2">
        <f>D16-B16</f>
        <v>0.19259999999999999</v>
      </c>
      <c r="G16">
        <f>10^-4</f>
        <v>1E-4</v>
      </c>
      <c r="H16" s="3">
        <f>0.5*P3*((F16*0.5)^2)</f>
        <v>4.5487449450000002E-2</v>
      </c>
      <c r="I16" s="3">
        <f>ABS(9.81*F16/4)*G16</f>
        <v>4.7235150000000008E-5</v>
      </c>
      <c r="J16">
        <f>SQRT(H17/H16)</f>
        <v>0.64828660436137053</v>
      </c>
      <c r="L16">
        <f>AVERAGE(J16:J23)</f>
        <v>0.77934967231362173</v>
      </c>
    </row>
    <row r="17" spans="1:14" x14ac:dyDescent="0.2">
      <c r="A17" t="s">
        <v>1</v>
      </c>
      <c r="B17">
        <f>71873*10^-5</f>
        <v>0.71873000000000009</v>
      </c>
      <c r="C17">
        <f t="shared" ref="C17:G25" si="0">10^-4</f>
        <v>1E-4</v>
      </c>
      <c r="D17">
        <f>84359*10^-5</f>
        <v>0.84359000000000006</v>
      </c>
      <c r="E17">
        <f t="shared" si="0"/>
        <v>1E-4</v>
      </c>
      <c r="F17" s="2">
        <f>D17-B17</f>
        <v>0.12485999999999997</v>
      </c>
      <c r="G17">
        <f t="shared" si="0"/>
        <v>1E-4</v>
      </c>
      <c r="H17" s="3">
        <f>0.5*P3*((F17*0.5)^2)</f>
        <v>1.9117261534499993E-2</v>
      </c>
      <c r="I17" s="3">
        <f t="shared" ref="I17:I25" si="1">ABS(9.81*F17/4)*G17</f>
        <v>3.0621914999999993E-5</v>
      </c>
      <c r="J17">
        <f>SQRT(H18/H17)</f>
        <v>0.69726093224411378</v>
      </c>
    </row>
    <row r="18" spans="1:14" x14ac:dyDescent="0.2">
      <c r="A18" t="s">
        <v>17</v>
      </c>
      <c r="B18">
        <f>84359*10^-5</f>
        <v>0.84359000000000006</v>
      </c>
      <c r="C18">
        <f t="shared" si="0"/>
        <v>1E-4</v>
      </c>
      <c r="D18">
        <f>93065*10^-5</f>
        <v>0.93065000000000009</v>
      </c>
      <c r="E18">
        <f t="shared" si="0"/>
        <v>1E-4</v>
      </c>
      <c r="F18" s="2">
        <f>D18-B18</f>
        <v>8.7060000000000026E-2</v>
      </c>
      <c r="G18">
        <f t="shared" si="0"/>
        <v>1E-4</v>
      </c>
      <c r="H18" s="3">
        <f>0.5*P3*((F18*0.5)^2)</f>
        <v>9.2942927145000052E-3</v>
      </c>
      <c r="I18" s="3">
        <f t="shared" si="1"/>
        <v>2.1351465000000008E-5</v>
      </c>
      <c r="J18">
        <f>SQRT(H19/H18)</f>
        <v>0.67654491155524854</v>
      </c>
    </row>
    <row r="19" spans="1:14" x14ac:dyDescent="0.2">
      <c r="A19" t="s">
        <v>25</v>
      </c>
      <c r="B19">
        <f>93065*10^-5</f>
        <v>0.93065000000000009</v>
      </c>
      <c r="C19">
        <f t="shared" si="0"/>
        <v>1E-4</v>
      </c>
      <c r="D19">
        <f>98955*10^-5</f>
        <v>0.98955000000000004</v>
      </c>
      <c r="E19">
        <f t="shared" si="0"/>
        <v>1E-4</v>
      </c>
      <c r="F19" s="2">
        <f>D19-B19</f>
        <v>5.8899999999999952E-2</v>
      </c>
      <c r="G19">
        <f t="shared" si="0"/>
        <v>1E-4</v>
      </c>
      <c r="H19" s="3">
        <f>0.5*P3*((F19*0.5)^2)</f>
        <v>4.2541187624999931E-3</v>
      </c>
      <c r="I19" s="3">
        <f t="shared" si="1"/>
        <v>1.444522499999999E-5</v>
      </c>
      <c r="J19">
        <f>SQRT(H20/H19)</f>
        <v>0.8358234295415965</v>
      </c>
    </row>
    <row r="20" spans="1:14" x14ac:dyDescent="0.2">
      <c r="A20" t="s">
        <v>26</v>
      </c>
      <c r="B20">
        <f>98955*10^-5</f>
        <v>0.98955000000000004</v>
      </c>
      <c r="C20">
        <f t="shared" si="0"/>
        <v>1E-4</v>
      </c>
      <c r="D20">
        <f>103878*10^-5</f>
        <v>1.03878</v>
      </c>
      <c r="E20">
        <f t="shared" si="0"/>
        <v>1E-4</v>
      </c>
      <c r="F20" s="2">
        <f>D20-B20</f>
        <v>4.9229999999999996E-2</v>
      </c>
      <c r="G20">
        <f t="shared" si="0"/>
        <v>1E-4</v>
      </c>
      <c r="H20" s="3">
        <f>0.5*P3*((F20*0.5)^2)</f>
        <v>2.9719307936249993E-3</v>
      </c>
      <c r="I20" s="3">
        <f t="shared" si="1"/>
        <v>1.20736575E-5</v>
      </c>
      <c r="J20">
        <f t="shared" ref="J20:J24" si="2">SQRT(H21/H20)</f>
        <v>0.72902701604712539</v>
      </c>
    </row>
    <row r="21" spans="1:14" x14ac:dyDescent="0.2">
      <c r="A21" t="s">
        <v>27</v>
      </c>
      <c r="B21">
        <f>103878*10^-5</f>
        <v>1.03878</v>
      </c>
      <c r="C21">
        <f t="shared" si="0"/>
        <v>1E-4</v>
      </c>
      <c r="D21">
        <f>107467*10^-5</f>
        <v>1.07467</v>
      </c>
      <c r="E21">
        <f t="shared" si="0"/>
        <v>1E-4</v>
      </c>
      <c r="F21" s="2">
        <f>D21-B21</f>
        <v>3.5889999999999977E-2</v>
      </c>
      <c r="G21">
        <f t="shared" si="0"/>
        <v>1E-4</v>
      </c>
      <c r="H21" s="4">
        <f>0.5*P3*((F21*0.5)^2)</f>
        <v>1.5795229376249979E-3</v>
      </c>
      <c r="I21" s="4">
        <f t="shared" si="1"/>
        <v>8.8020224999999962E-6</v>
      </c>
      <c r="J21">
        <f t="shared" si="2"/>
        <v>0.88130398439676982</v>
      </c>
    </row>
    <row r="22" spans="1:14" x14ac:dyDescent="0.2">
      <c r="A22" t="s">
        <v>30</v>
      </c>
      <c r="B22">
        <f>107467*10^-5</f>
        <v>1.07467</v>
      </c>
      <c r="C22">
        <f t="shared" si="0"/>
        <v>1E-4</v>
      </c>
      <c r="D22">
        <f>110630*10^-5</f>
        <v>1.1063000000000001</v>
      </c>
      <c r="E22">
        <f t="shared" si="0"/>
        <v>1E-4</v>
      </c>
      <c r="F22" s="2">
        <f>D22-B22</f>
        <v>3.1630000000000047E-2</v>
      </c>
      <c r="G22">
        <f t="shared" si="0"/>
        <v>1E-4</v>
      </c>
      <c r="H22" s="4">
        <f>0.5*P3*((F22*0.5)^2)</f>
        <v>1.2268102736250038E-3</v>
      </c>
      <c r="I22" s="4">
        <f t="shared" si="1"/>
        <v>7.7572575000000117E-6</v>
      </c>
      <c r="J22">
        <f t="shared" si="2"/>
        <v>0.90641795763515431</v>
      </c>
    </row>
    <row r="23" spans="1:14" x14ac:dyDescent="0.2">
      <c r="A23" t="s">
        <v>31</v>
      </c>
      <c r="B23">
        <f>110630*10^-5</f>
        <v>1.1063000000000001</v>
      </c>
      <c r="C23">
        <f t="shared" si="0"/>
        <v>1E-4</v>
      </c>
      <c r="D23">
        <f>113497*10^-5</f>
        <v>1.13497</v>
      </c>
      <c r="E23">
        <f t="shared" si="0"/>
        <v>1E-4</v>
      </c>
      <c r="F23" s="2">
        <f>D23-B23</f>
        <v>2.8669999999999973E-2</v>
      </c>
      <c r="G23">
        <f t="shared" si="0"/>
        <v>1E-4</v>
      </c>
      <c r="H23" s="4">
        <f>0.5*P3*((F23*0.5)^2)</f>
        <v>1.0079393636249982E-3</v>
      </c>
      <c r="I23" s="4">
        <f t="shared" si="1"/>
        <v>7.0313174999999944E-6</v>
      </c>
      <c r="J23">
        <f t="shared" si="2"/>
        <v>0.86013254272759498</v>
      </c>
    </row>
    <row r="24" spans="1:14" s="9" customFormat="1" x14ac:dyDescent="0.2">
      <c r="A24" s="5" t="s">
        <v>32</v>
      </c>
      <c r="B24" s="5">
        <f>113497*10^-5</f>
        <v>1.13497</v>
      </c>
      <c r="C24" s="5">
        <f t="shared" si="0"/>
        <v>1E-4</v>
      </c>
      <c r="D24" s="5">
        <f>115963*10^-5</f>
        <v>1.1596300000000002</v>
      </c>
      <c r="E24" s="5">
        <f t="shared" si="0"/>
        <v>1E-4</v>
      </c>
      <c r="F24" s="7">
        <f>D24-B24</f>
        <v>2.4660000000000126E-2</v>
      </c>
      <c r="G24" s="5">
        <f t="shared" si="0"/>
        <v>1E-4</v>
      </c>
      <c r="H24" s="8">
        <f>0.5*P3*((F24*0.5)^2)</f>
        <v>7.457017545000077E-4</v>
      </c>
      <c r="I24" s="8">
        <f t="shared" si="1"/>
        <v>6.0478650000000316E-6</v>
      </c>
      <c r="J24">
        <f t="shared" si="2"/>
        <v>0.91930251419301912</v>
      </c>
    </row>
    <row r="25" spans="1:14" s="9" customFormat="1" x14ac:dyDescent="0.2">
      <c r="B25" s="9">
        <f>115963*10^-5</f>
        <v>1.1596300000000002</v>
      </c>
      <c r="D25" s="9">
        <f>118230*10^-5</f>
        <v>1.1823000000000001</v>
      </c>
      <c r="F25" s="10">
        <f>D25-B25</f>
        <v>2.2669999999999968E-2</v>
      </c>
      <c r="G25" s="9">
        <f t="shared" si="0"/>
        <v>1E-4</v>
      </c>
      <c r="H25" s="11">
        <f>0.5*P3*((F25*0.5)^2)</f>
        <v>6.3020531362499826E-4</v>
      </c>
      <c r="I25" s="11">
        <f t="shared" si="1"/>
        <v>5.5598174999999924E-6</v>
      </c>
    </row>
    <row r="27" spans="1:14" x14ac:dyDescent="0.2">
      <c r="A27" t="s">
        <v>12</v>
      </c>
    </row>
    <row r="28" spans="1:14" x14ac:dyDescent="0.2">
      <c r="F28" t="s">
        <v>7</v>
      </c>
      <c r="G28" t="s">
        <v>8</v>
      </c>
      <c r="H28" t="s">
        <v>4</v>
      </c>
      <c r="I28" t="s">
        <v>9</v>
      </c>
      <c r="J28" t="s">
        <v>5</v>
      </c>
      <c r="K28" t="s">
        <v>10</v>
      </c>
      <c r="L28" t="s">
        <v>6</v>
      </c>
      <c r="M28" t="s">
        <v>11</v>
      </c>
    </row>
    <row r="29" spans="1:14" x14ac:dyDescent="0.2">
      <c r="A29" t="s">
        <v>0</v>
      </c>
      <c r="B29">
        <f>60668*10^-5</f>
        <v>0.60668</v>
      </c>
      <c r="C29">
        <f t="shared" ref="C29:C43" si="3">10^-4</f>
        <v>1E-4</v>
      </c>
      <c r="D29">
        <f>78477*10^-5</f>
        <v>0.78477000000000008</v>
      </c>
      <c r="E29">
        <f t="shared" ref="E29:E44" si="4">10^-4</f>
        <v>1E-4</v>
      </c>
      <c r="F29">
        <f>D29-B29</f>
        <v>0.17809000000000008</v>
      </c>
      <c r="G29">
        <v>1E-3</v>
      </c>
      <c r="H29" s="3">
        <f>0.5*9.81*((F29*0.5)^2)</f>
        <v>3.8891803982625033E-2</v>
      </c>
      <c r="I29" s="2">
        <f>ABS(9.81*F29/4)*G29</f>
        <v>4.3676572500000023E-4</v>
      </c>
      <c r="J29">
        <f>SQRT(H30/H29)</f>
        <v>0.65798191925430904</v>
      </c>
      <c r="L29">
        <f>AVERAGE(J29:J38)</f>
        <v>0.83595865959640336</v>
      </c>
      <c r="N29" s="1"/>
    </row>
    <row r="30" spans="1:14" x14ac:dyDescent="0.2">
      <c r="A30" t="s">
        <v>13</v>
      </c>
      <c r="B30">
        <f>78477*10^-5</f>
        <v>0.78477000000000008</v>
      </c>
      <c r="C30">
        <f t="shared" si="3"/>
        <v>1E-4</v>
      </c>
      <c r="D30">
        <f>90195*10^-5</f>
        <v>0.90195000000000003</v>
      </c>
      <c r="E30">
        <f t="shared" si="4"/>
        <v>1E-4</v>
      </c>
      <c r="F30">
        <f t="shared" ref="F30:F45" si="5">D30-B30</f>
        <v>0.11717999999999995</v>
      </c>
      <c r="G30">
        <v>1E-3</v>
      </c>
      <c r="H30" s="3">
        <f t="shared" ref="H29:H45" si="6">0.5*9.81*((F30*0.5)^2)</f>
        <v>1.6837825630499986E-2</v>
      </c>
      <c r="I30" s="2">
        <f>ABS(9.81*F30/4)*G29</f>
        <v>2.8738394999999989E-4</v>
      </c>
      <c r="J30">
        <f t="shared" ref="J30:J42" si="7">SQRT(H31/H30)</f>
        <v>0.73451100870455821</v>
      </c>
    </row>
    <row r="31" spans="1:14" x14ac:dyDescent="0.2">
      <c r="A31" t="s">
        <v>17</v>
      </c>
      <c r="B31">
        <f>90195*10^-5</f>
        <v>0.90195000000000003</v>
      </c>
      <c r="C31">
        <f t="shared" si="3"/>
        <v>1E-4</v>
      </c>
      <c r="D31">
        <f>98802*10^-5</f>
        <v>0.98802000000000012</v>
      </c>
      <c r="E31">
        <f t="shared" si="4"/>
        <v>1E-4</v>
      </c>
      <c r="F31">
        <f t="shared" si="5"/>
        <v>8.6070000000000091E-2</v>
      </c>
      <c r="G31">
        <v>1E-3</v>
      </c>
      <c r="H31" s="3">
        <f t="shared" si="6"/>
        <v>9.08411505862502E-3</v>
      </c>
      <c r="I31" s="2">
        <f t="shared" ref="I30:I43" si="8">ABS(9.81*F31/4)*G31</f>
        <v>2.1108667500000023E-4</v>
      </c>
      <c r="J31">
        <f t="shared" si="7"/>
        <v>0.78319972115719638</v>
      </c>
    </row>
    <row r="32" spans="1:14" x14ac:dyDescent="0.2">
      <c r="A32" t="s">
        <v>25</v>
      </c>
      <c r="B32">
        <f>98802*10^-5</f>
        <v>0.98802000000000012</v>
      </c>
      <c r="C32">
        <f t="shared" si="3"/>
        <v>1E-4</v>
      </c>
      <c r="D32">
        <f>105543*10^-5</f>
        <v>1.0554300000000001</v>
      </c>
      <c r="E32">
        <f t="shared" si="4"/>
        <v>1E-4</v>
      </c>
      <c r="F32">
        <f t="shared" si="5"/>
        <v>6.740999999999997E-2</v>
      </c>
      <c r="G32">
        <v>1E-3</v>
      </c>
      <c r="H32" s="3">
        <f t="shared" si="6"/>
        <v>5.5722125576249957E-3</v>
      </c>
      <c r="I32" s="2">
        <f t="shared" si="8"/>
        <v>1.6532302499999994E-4</v>
      </c>
      <c r="J32">
        <f t="shared" si="7"/>
        <v>0.87346091084408939</v>
      </c>
    </row>
    <row r="33" spans="1:11" x14ac:dyDescent="0.2">
      <c r="A33" t="s">
        <v>26</v>
      </c>
      <c r="B33">
        <f>105543*10^-5</f>
        <v>1.0554300000000001</v>
      </c>
      <c r="C33">
        <f t="shared" si="3"/>
        <v>1E-4</v>
      </c>
      <c r="D33">
        <f>111431*10^-5</f>
        <v>1.1143100000000001</v>
      </c>
      <c r="E33">
        <f t="shared" si="4"/>
        <v>1E-4</v>
      </c>
      <c r="F33">
        <f t="shared" si="5"/>
        <v>5.8880000000000043E-2</v>
      </c>
      <c r="G33">
        <v>1E-3</v>
      </c>
      <c r="H33" s="3">
        <f t="shared" si="6"/>
        <v>4.251230208000006E-3</v>
      </c>
      <c r="I33" s="2">
        <f t="shared" si="8"/>
        <v>1.4440320000000013E-4</v>
      </c>
      <c r="J33">
        <f t="shared" si="7"/>
        <v>0.84731657608695576</v>
      </c>
    </row>
    <row r="34" spans="1:11" x14ac:dyDescent="0.2">
      <c r="A34" t="s">
        <v>27</v>
      </c>
      <c r="B34">
        <f>111431*10^-5</f>
        <v>1.1143100000000001</v>
      </c>
      <c r="C34">
        <f t="shared" si="3"/>
        <v>1E-4</v>
      </c>
      <c r="D34">
        <f>116420*10^-5</f>
        <v>1.1642000000000001</v>
      </c>
      <c r="E34">
        <f t="shared" si="4"/>
        <v>1E-4</v>
      </c>
      <c r="F34">
        <f t="shared" si="5"/>
        <v>4.988999999999999E-2</v>
      </c>
      <c r="G34">
        <v>1E-3</v>
      </c>
      <c r="H34" s="3">
        <f t="shared" si="6"/>
        <v>3.0521510876249987E-3</v>
      </c>
      <c r="I34" s="2">
        <f t="shared" si="8"/>
        <v>1.2235522499999999E-4</v>
      </c>
      <c r="J34">
        <f t="shared" si="7"/>
        <v>0.86269793545800721</v>
      </c>
    </row>
    <row r="35" spans="1:11" x14ac:dyDescent="0.2">
      <c r="A35" t="s">
        <v>30</v>
      </c>
      <c r="B35">
        <f>116420*10^-5</f>
        <v>1.1642000000000001</v>
      </c>
      <c r="C35">
        <f t="shared" si="3"/>
        <v>1E-4</v>
      </c>
      <c r="D35">
        <f>120724*10^-5</f>
        <v>1.2072400000000001</v>
      </c>
      <c r="E35">
        <f t="shared" si="4"/>
        <v>1E-4</v>
      </c>
      <c r="F35">
        <f t="shared" si="5"/>
        <v>4.3039999999999967E-2</v>
      </c>
      <c r="G35">
        <v>1E-3</v>
      </c>
      <c r="H35" s="3">
        <f t="shared" si="6"/>
        <v>2.2715565119999967E-3</v>
      </c>
      <c r="I35" s="2">
        <f t="shared" si="8"/>
        <v>1.0555559999999994E-4</v>
      </c>
      <c r="J35">
        <f t="shared" si="7"/>
        <v>0.89544609665427621</v>
      </c>
    </row>
    <row r="36" spans="1:11" x14ac:dyDescent="0.2">
      <c r="A36" t="s">
        <v>31</v>
      </c>
      <c r="B36">
        <f>120724*10^-5</f>
        <v>1.2072400000000001</v>
      </c>
      <c r="C36">
        <f t="shared" si="3"/>
        <v>1E-4</v>
      </c>
      <c r="D36">
        <f>124578*10^-5</f>
        <v>1.2457800000000001</v>
      </c>
      <c r="E36">
        <f t="shared" si="4"/>
        <v>1E-4</v>
      </c>
      <c r="F36">
        <f t="shared" si="5"/>
        <v>3.8540000000000019E-2</v>
      </c>
      <c r="G36">
        <v>1E-3</v>
      </c>
      <c r="H36" s="3">
        <f t="shared" si="6"/>
        <v>1.8213878745000018E-3</v>
      </c>
      <c r="I36" s="3">
        <f t="shared" si="8"/>
        <v>9.4519350000000059E-5</v>
      </c>
      <c r="J36">
        <f t="shared" si="7"/>
        <v>0.87441619097042167</v>
      </c>
    </row>
    <row r="37" spans="1:11" x14ac:dyDescent="0.2">
      <c r="A37" t="s">
        <v>33</v>
      </c>
      <c r="B37">
        <f>124578*10^-5</f>
        <v>1.2457800000000001</v>
      </c>
      <c r="C37">
        <f t="shared" si="3"/>
        <v>1E-4</v>
      </c>
      <c r="D37">
        <f>127948*10^-5</f>
        <v>1.2794800000000002</v>
      </c>
      <c r="E37">
        <f t="shared" si="4"/>
        <v>1E-4</v>
      </c>
      <c r="F37">
        <f t="shared" si="5"/>
        <v>3.3700000000000063E-2</v>
      </c>
      <c r="G37">
        <v>1E-3</v>
      </c>
      <c r="H37" s="3">
        <f t="shared" si="6"/>
        <v>1.3926398625000054E-3</v>
      </c>
      <c r="I37" s="3">
        <f t="shared" si="8"/>
        <v>8.2649250000000168E-5</v>
      </c>
      <c r="J37">
        <f t="shared" si="7"/>
        <v>0.90830860534124536</v>
      </c>
    </row>
    <row r="38" spans="1:11" x14ac:dyDescent="0.2">
      <c r="A38" t="s">
        <v>34</v>
      </c>
      <c r="B38">
        <f>127948*10^-5</f>
        <v>1.2794800000000002</v>
      </c>
      <c r="C38">
        <f t="shared" si="3"/>
        <v>1E-4</v>
      </c>
      <c r="D38">
        <f>131009*10^-5</f>
        <v>1.3100900000000002</v>
      </c>
      <c r="E38">
        <f t="shared" si="4"/>
        <v>1E-4</v>
      </c>
      <c r="F38">
        <f t="shared" si="5"/>
        <v>3.0610000000000026E-2</v>
      </c>
      <c r="G38">
        <v>1E-3</v>
      </c>
      <c r="H38" s="3">
        <f t="shared" si="6"/>
        <v>1.148962037625002E-3</v>
      </c>
      <c r="I38" s="3">
        <f t="shared" si="8"/>
        <v>7.5071025000000076E-5</v>
      </c>
      <c r="J38">
        <f t="shared" si="7"/>
        <v>0.92224763149297473</v>
      </c>
    </row>
    <row r="39" spans="1:11" x14ac:dyDescent="0.2">
      <c r="A39" s="5" t="s">
        <v>35</v>
      </c>
      <c r="B39" s="5">
        <f>131009*10^-5</f>
        <v>1.3100900000000002</v>
      </c>
      <c r="C39" s="5">
        <f t="shared" si="3"/>
        <v>1E-4</v>
      </c>
      <c r="D39" s="5">
        <f>133832*10^-5</f>
        <v>1.3383200000000002</v>
      </c>
      <c r="E39" s="5">
        <f t="shared" si="4"/>
        <v>1E-4</v>
      </c>
      <c r="F39" s="5">
        <f t="shared" si="5"/>
        <v>2.8229999999999977E-2</v>
      </c>
      <c r="G39" s="5">
        <v>1E-3</v>
      </c>
      <c r="H39" s="6">
        <f t="shared" si="6"/>
        <v>9.7723896862499863E-4</v>
      </c>
      <c r="I39" s="6">
        <f t="shared" si="8"/>
        <v>6.9234074999999953E-5</v>
      </c>
      <c r="J39" s="5">
        <f t="shared" si="7"/>
        <v>0.8671625929861797</v>
      </c>
    </row>
    <row r="40" spans="1:11" x14ac:dyDescent="0.2">
      <c r="A40" t="s">
        <v>36</v>
      </c>
      <c r="B40">
        <f>133832*10^-5</f>
        <v>1.3383200000000002</v>
      </c>
      <c r="C40">
        <f t="shared" si="3"/>
        <v>1E-4</v>
      </c>
      <c r="D40">
        <f>136280*10^-5</f>
        <v>1.3628</v>
      </c>
      <c r="E40">
        <f t="shared" si="4"/>
        <v>1E-4</v>
      </c>
      <c r="F40">
        <f t="shared" si="5"/>
        <v>2.4479999999999835E-2</v>
      </c>
      <c r="G40">
        <v>1E-3</v>
      </c>
      <c r="H40" s="3">
        <f t="shared" si="6"/>
        <v>7.348553279999902E-4</v>
      </c>
      <c r="I40" s="3">
        <f t="shared" si="8"/>
        <v>6.0037199999999595E-5</v>
      </c>
      <c r="J40">
        <f t="shared" si="7"/>
        <v>0.87500000000000566</v>
      </c>
    </row>
    <row r="41" spans="1:11" x14ac:dyDescent="0.2">
      <c r="A41" t="s">
        <v>37</v>
      </c>
      <c r="B41">
        <f>136280*10^-5</f>
        <v>1.3628</v>
      </c>
      <c r="C41">
        <f t="shared" si="3"/>
        <v>1E-4</v>
      </c>
      <c r="D41">
        <f>138422*10^-5</f>
        <v>1.38422</v>
      </c>
      <c r="E41">
        <f t="shared" si="4"/>
        <v>1E-4</v>
      </c>
      <c r="F41">
        <f t="shared" si="5"/>
        <v>2.1419999999999995E-2</v>
      </c>
      <c r="G41">
        <v>1E-3</v>
      </c>
      <c r="H41" s="3">
        <f t="shared" si="6"/>
        <v>5.6262361049999978E-4</v>
      </c>
      <c r="I41" s="3">
        <f t="shared" si="8"/>
        <v>5.2532549999999989E-5</v>
      </c>
      <c r="J41">
        <f t="shared" si="7"/>
        <v>0.88328664799253276</v>
      </c>
    </row>
    <row r="42" spans="1:11" x14ac:dyDescent="0.2">
      <c r="A42" t="s">
        <v>38</v>
      </c>
      <c r="B42">
        <f>138422*10^-5</f>
        <v>1.38422</v>
      </c>
      <c r="C42">
        <f t="shared" si="3"/>
        <v>1E-4</v>
      </c>
      <c r="D42">
        <f>140314*10^-5</f>
        <v>1.4031400000000001</v>
      </c>
      <c r="E42">
        <f t="shared" si="4"/>
        <v>1E-4</v>
      </c>
      <c r="F42">
        <f t="shared" si="5"/>
        <v>1.8920000000000048E-2</v>
      </c>
      <c r="G42">
        <v>1E-3</v>
      </c>
      <c r="H42" s="3">
        <f t="shared" si="6"/>
        <v>4.3895629800000223E-4</v>
      </c>
      <c r="I42" s="3">
        <f t="shared" si="8"/>
        <v>4.6401300000000121E-5</v>
      </c>
      <c r="J42">
        <f t="shared" si="7"/>
        <v>0.88266384778013307</v>
      </c>
    </row>
    <row r="43" spans="1:11" x14ac:dyDescent="0.2">
      <c r="A43" t="s">
        <v>39</v>
      </c>
      <c r="B43">
        <f>140314*10^-5</f>
        <v>1.4031400000000001</v>
      </c>
      <c r="C43">
        <f t="shared" si="3"/>
        <v>1E-4</v>
      </c>
      <c r="D43">
        <f>141984*10^-5</f>
        <v>1.4198400000000002</v>
      </c>
      <c r="E43">
        <f t="shared" si="4"/>
        <v>1E-4</v>
      </c>
      <c r="F43">
        <f t="shared" si="5"/>
        <v>1.6700000000000159E-2</v>
      </c>
      <c r="G43">
        <v>1E-3</v>
      </c>
      <c r="H43" s="3">
        <f t="shared" si="6"/>
        <v>3.4198886250000652E-4</v>
      </c>
      <c r="I43" s="3">
        <f t="shared" si="8"/>
        <v>4.0956750000000397E-5</v>
      </c>
    </row>
    <row r="44" spans="1:11" x14ac:dyDescent="0.2">
      <c r="A44" t="s">
        <v>40</v>
      </c>
      <c r="B44">
        <f>141984*10^-5</f>
        <v>1.4198400000000002</v>
      </c>
      <c r="D44">
        <f>143336*10^-5</f>
        <v>1.4333600000000002</v>
      </c>
      <c r="E44">
        <f t="shared" si="4"/>
        <v>1E-4</v>
      </c>
      <c r="F44">
        <f t="shared" si="5"/>
        <v>1.3519999999999976E-2</v>
      </c>
      <c r="G44">
        <v>1E-3</v>
      </c>
      <c r="H44" s="3">
        <f t="shared" si="6"/>
        <v>2.2414672799999922E-4</v>
      </c>
    </row>
    <row r="45" spans="1:11" x14ac:dyDescent="0.2">
      <c r="B45">
        <f>143336*10^-5</f>
        <v>1.4333600000000002</v>
      </c>
      <c r="D45">
        <f>144700*10^-5</f>
        <v>1.4470000000000001</v>
      </c>
      <c r="E45">
        <f t="shared" ref="E45" si="9">10^-4</f>
        <v>1E-4</v>
      </c>
      <c r="F45">
        <f t="shared" si="5"/>
        <v>1.3639999999999874E-2</v>
      </c>
      <c r="G45">
        <v>1E-3</v>
      </c>
      <c r="H45" s="3">
        <f t="shared" si="6"/>
        <v>2.2814332199999583E-4</v>
      </c>
    </row>
    <row r="46" spans="1:11" x14ac:dyDescent="0.2">
      <c r="A46" t="s">
        <v>41</v>
      </c>
      <c r="G46">
        <v>1E-3</v>
      </c>
    </row>
    <row r="47" spans="1:11" x14ac:dyDescent="0.2">
      <c r="A47" t="s">
        <v>3</v>
      </c>
    </row>
    <row r="48" spans="1:11" x14ac:dyDescent="0.2">
      <c r="B48" t="s">
        <v>42</v>
      </c>
      <c r="C48" t="s">
        <v>45</v>
      </c>
      <c r="D48" t="s">
        <v>46</v>
      </c>
      <c r="E48" t="s">
        <v>8</v>
      </c>
      <c r="F48" t="s">
        <v>47</v>
      </c>
      <c r="G48" t="s">
        <v>9</v>
      </c>
      <c r="H48" t="s">
        <v>48</v>
      </c>
      <c r="I48" t="s">
        <v>49</v>
      </c>
      <c r="K48" t="s">
        <v>50</v>
      </c>
    </row>
    <row r="49" spans="1:11" x14ac:dyDescent="0.2">
      <c r="A49" t="s">
        <v>0</v>
      </c>
      <c r="B49">
        <f>57490*10^-5</f>
        <v>0.57490000000000008</v>
      </c>
      <c r="D49">
        <f>B50-B49</f>
        <v>0.17096999999999996</v>
      </c>
      <c r="F49">
        <f>0.5*9.81*((D49*0.5)^2)</f>
        <v>3.5844196028624986E-2</v>
      </c>
      <c r="H49">
        <f>F49*10^2</f>
        <v>3.5844196028624986</v>
      </c>
      <c r="I49">
        <f>SQRT(H50/H49)</f>
        <v>0.6877229923378374</v>
      </c>
      <c r="K49">
        <f>AVERAGE(I49:I58)</f>
        <v>0.82632523618603204</v>
      </c>
    </row>
    <row r="50" spans="1:11" x14ac:dyDescent="0.2">
      <c r="A50" t="s">
        <v>1</v>
      </c>
      <c r="B50">
        <f>74587*10^-5</f>
        <v>0.74587000000000003</v>
      </c>
      <c r="D50">
        <f>B51-B50</f>
        <v>0.11758000000000002</v>
      </c>
      <c r="F50">
        <f>0.5*9.81*((D50*0.5)^2)</f>
        <v>1.6952975410500008E-2</v>
      </c>
      <c r="H50">
        <f t="shared" ref="H50:H63" si="10">F50*10^2</f>
        <v>1.6952975410500009</v>
      </c>
      <c r="I50">
        <f t="shared" ref="I50:I62" si="11">SQRT(H51/H50)</f>
        <v>0.605034869875829</v>
      </c>
    </row>
    <row r="51" spans="1:11" x14ac:dyDescent="0.2">
      <c r="A51" t="s">
        <v>17</v>
      </c>
      <c r="B51">
        <f>86345*10^-5</f>
        <v>0.86345000000000005</v>
      </c>
      <c r="D51">
        <f t="shared" ref="D51:D63" si="12">B52-B51</f>
        <v>7.1139999999999981E-2</v>
      </c>
      <c r="F51">
        <f t="shared" ref="F50:F63" si="13">0.5*9.81*((D51*0.5)^2)</f>
        <v>6.2059281344999974E-3</v>
      </c>
      <c r="H51">
        <f t="shared" si="10"/>
        <v>0.62059281344999973</v>
      </c>
      <c r="I51">
        <f t="shared" si="11"/>
        <v>0.81079561428169922</v>
      </c>
    </row>
    <row r="52" spans="1:11" x14ac:dyDescent="0.2">
      <c r="A52" t="s">
        <v>25</v>
      </c>
      <c r="B52">
        <f>93459*10^-5</f>
        <v>0.93459000000000003</v>
      </c>
      <c r="D52">
        <f t="shared" si="12"/>
        <v>5.7680000000000065E-2</v>
      </c>
      <c r="F52">
        <f t="shared" si="13"/>
        <v>4.0797121680000098E-3</v>
      </c>
      <c r="H52">
        <f t="shared" si="10"/>
        <v>0.40797121680000098</v>
      </c>
      <c r="I52">
        <f t="shared" si="11"/>
        <v>0.86546463245492411</v>
      </c>
    </row>
    <row r="53" spans="1:11" x14ac:dyDescent="0.2">
      <c r="A53" t="s">
        <v>26</v>
      </c>
      <c r="B53">
        <f>99227*10^-5</f>
        <v>0.9922700000000001</v>
      </c>
      <c r="D53">
        <f t="shared" si="12"/>
        <v>4.9920000000000075E-2</v>
      </c>
      <c r="F53">
        <f t="shared" si="13"/>
        <v>3.0558228480000098E-3</v>
      </c>
      <c r="H53">
        <f t="shared" si="10"/>
        <v>0.30558228480000099</v>
      </c>
      <c r="I53">
        <f t="shared" si="11"/>
        <v>0.86117788461538047</v>
      </c>
    </row>
    <row r="54" spans="1:11" x14ac:dyDescent="0.2">
      <c r="A54" t="s">
        <v>27</v>
      </c>
      <c r="B54">
        <f>104219*10^-5</f>
        <v>1.0421900000000002</v>
      </c>
      <c r="D54">
        <f t="shared" si="12"/>
        <v>4.2989999999999862E-2</v>
      </c>
      <c r="F54">
        <f t="shared" si="13"/>
        <v>2.2662817976249858E-3</v>
      </c>
      <c r="H54">
        <f t="shared" si="10"/>
        <v>0.22662817976249858</v>
      </c>
      <c r="I54">
        <f t="shared" si="11"/>
        <v>0.86857408699698224</v>
      </c>
    </row>
    <row r="55" spans="1:11" x14ac:dyDescent="0.2">
      <c r="A55" t="s">
        <v>30</v>
      </c>
      <c r="B55">
        <f>108518*10^-5</f>
        <v>1.08518</v>
      </c>
      <c r="D55">
        <f t="shared" si="12"/>
        <v>3.7340000000000151E-2</v>
      </c>
      <c r="F55">
        <f t="shared" si="13"/>
        <v>1.7097304545000138E-3</v>
      </c>
      <c r="H55">
        <f t="shared" si="10"/>
        <v>0.17097304545000139</v>
      </c>
      <c r="I55">
        <f t="shared" si="11"/>
        <v>0.87707552222816554</v>
      </c>
    </row>
    <row r="56" spans="1:11" x14ac:dyDescent="0.2">
      <c r="A56" t="s">
        <v>31</v>
      </c>
      <c r="B56">
        <f>112252*10^-5</f>
        <v>1.1225200000000002</v>
      </c>
      <c r="D56">
        <f t="shared" si="12"/>
        <v>3.2749999999999835E-2</v>
      </c>
      <c r="F56">
        <f t="shared" si="13"/>
        <v>1.3152297656249868E-3</v>
      </c>
      <c r="H56">
        <f t="shared" si="10"/>
        <v>0.13152297656249867</v>
      </c>
      <c r="I56">
        <f t="shared" si="11"/>
        <v>0.88366412213741485</v>
      </c>
    </row>
    <row r="57" spans="1:11" x14ac:dyDescent="0.2">
      <c r="A57" t="s">
        <v>33</v>
      </c>
      <c r="B57">
        <f>115527*10^-5</f>
        <v>1.15527</v>
      </c>
      <c r="D57">
        <f t="shared" si="12"/>
        <v>2.8940000000000188E-2</v>
      </c>
      <c r="F57">
        <f t="shared" si="13"/>
        <v>1.0270133145000135E-3</v>
      </c>
      <c r="H57">
        <f t="shared" si="10"/>
        <v>0.10270133145000135</v>
      </c>
      <c r="I57">
        <f t="shared" si="11"/>
        <v>0.91948859709743014</v>
      </c>
    </row>
    <row r="58" spans="1:11" x14ac:dyDescent="0.2">
      <c r="A58" s="5" t="s">
        <v>34</v>
      </c>
      <c r="B58" s="5">
        <f>118421*10^-5</f>
        <v>1.1842100000000002</v>
      </c>
      <c r="C58" s="5"/>
      <c r="D58" s="5">
        <f t="shared" si="12"/>
        <v>2.66099999999998E-2</v>
      </c>
      <c r="E58" s="5"/>
      <c r="F58" s="5">
        <f t="shared" si="13"/>
        <v>8.6829793762498706E-4</v>
      </c>
      <c r="G58" s="5"/>
      <c r="H58" s="5">
        <f t="shared" si="10"/>
        <v>8.6829793762498705E-2</v>
      </c>
      <c r="I58" s="5">
        <f t="shared" si="11"/>
        <v>0.88425403983465711</v>
      </c>
    </row>
    <row r="59" spans="1:11" x14ac:dyDescent="0.2">
      <c r="A59" t="s">
        <v>43</v>
      </c>
      <c r="B59">
        <f>121082*10^-5</f>
        <v>1.21082</v>
      </c>
      <c r="D59">
        <f t="shared" si="12"/>
        <v>2.3530000000000051E-2</v>
      </c>
      <c r="F59">
        <f t="shared" si="13"/>
        <v>6.7892667862500292E-4</v>
      </c>
      <c r="H59">
        <f t="shared" si="10"/>
        <v>6.7892667862500297E-2</v>
      </c>
      <c r="I59">
        <f t="shared" si="11"/>
        <v>0.8839779005524907</v>
      </c>
    </row>
    <row r="60" spans="1:11" x14ac:dyDescent="0.2">
      <c r="A60" t="s">
        <v>44</v>
      </c>
      <c r="B60">
        <f>123435*10^-5</f>
        <v>1.2343500000000001</v>
      </c>
      <c r="D60">
        <f t="shared" si="12"/>
        <v>2.0800000000000152E-2</v>
      </c>
      <c r="F60">
        <f t="shared" si="13"/>
        <v>5.3052480000000775E-4</v>
      </c>
      <c r="H60">
        <f t="shared" si="10"/>
        <v>5.3052480000000776E-2</v>
      </c>
      <c r="I60">
        <f t="shared" si="11"/>
        <v>0.92355769230768314</v>
      </c>
    </row>
    <row r="61" spans="1:11" x14ac:dyDescent="0.2">
      <c r="A61" t="s">
        <v>37</v>
      </c>
      <c r="B61">
        <f>125515*10^-5</f>
        <v>1.2551500000000002</v>
      </c>
      <c r="D61">
        <f t="shared" si="12"/>
        <v>1.9209999999999949E-2</v>
      </c>
      <c r="F61">
        <f t="shared" si="13"/>
        <v>4.5251580262499762E-4</v>
      </c>
      <c r="H61">
        <f t="shared" si="10"/>
        <v>4.5251580262499765E-2</v>
      </c>
      <c r="I61">
        <f t="shared" si="11"/>
        <v>0.9021343050494478</v>
      </c>
    </row>
    <row r="62" spans="1:11" x14ac:dyDescent="0.2">
      <c r="A62" t="s">
        <v>38</v>
      </c>
      <c r="B62">
        <f>127436*10^-5</f>
        <v>1.2743600000000002</v>
      </c>
      <c r="D62">
        <f t="shared" si="12"/>
        <v>1.7329999999999846E-2</v>
      </c>
      <c r="F62">
        <f t="shared" si="13"/>
        <v>3.6827831362499347E-4</v>
      </c>
      <c r="H62">
        <f t="shared" si="10"/>
        <v>3.6827831362499348E-2</v>
      </c>
      <c r="I62">
        <f t="shared" si="11"/>
        <v>0.85112521638777683</v>
      </c>
    </row>
    <row r="63" spans="1:11" x14ac:dyDescent="0.2">
      <c r="A63" t="s">
        <v>39</v>
      </c>
      <c r="B63">
        <f>129169*10^-5</f>
        <v>1.29169</v>
      </c>
      <c r="D63">
        <f>B64-B63</f>
        <v>1.4750000000000041E-2</v>
      </c>
      <c r="F63">
        <f t="shared" si="13"/>
        <v>2.6678601562500149E-4</v>
      </c>
      <c r="H63">
        <f t="shared" si="10"/>
        <v>2.6678601562500147E-2</v>
      </c>
    </row>
    <row r="64" spans="1:11" x14ac:dyDescent="0.2">
      <c r="A64" t="s">
        <v>40</v>
      </c>
      <c r="B64">
        <f>130644*10^-5</f>
        <v>1.30644</v>
      </c>
    </row>
    <row r="66" spans="1:11" x14ac:dyDescent="0.2">
      <c r="A66" t="s">
        <v>12</v>
      </c>
    </row>
    <row r="67" spans="1:11" x14ac:dyDescent="0.2">
      <c r="B67" t="s">
        <v>42</v>
      </c>
      <c r="C67" t="s">
        <v>45</v>
      </c>
      <c r="D67" t="s">
        <v>46</v>
      </c>
      <c r="E67" t="s">
        <v>8</v>
      </c>
      <c r="F67" t="s">
        <v>47</v>
      </c>
      <c r="G67" t="s">
        <v>9</v>
      </c>
      <c r="H67" t="s">
        <v>48</v>
      </c>
      <c r="I67" t="s">
        <v>49</v>
      </c>
      <c r="K67" t="s">
        <v>50</v>
      </c>
    </row>
    <row r="68" spans="1:11" x14ac:dyDescent="0.2">
      <c r="A68" t="s">
        <v>0</v>
      </c>
      <c r="B68">
        <f>65393*10^-5</f>
        <v>0.65393000000000001</v>
      </c>
      <c r="D68">
        <f>B69-B68</f>
        <v>0.13391000000000008</v>
      </c>
      <c r="F68">
        <f>0.5*9.81*((D68*0.5)^2)</f>
        <v>2.1988977782625027E-2</v>
      </c>
      <c r="H68">
        <f>F68*10^2</f>
        <v>2.1988977782625025</v>
      </c>
    </row>
    <row r="69" spans="1:11" x14ac:dyDescent="0.2">
      <c r="A69" t="s">
        <v>1</v>
      </c>
      <c r="B69">
        <f>78784*10^-5</f>
        <v>0.7878400000000001</v>
      </c>
      <c r="D69">
        <f t="shared" ref="D69:D84" si="14">B70-B69</f>
        <v>9.0679999999999983E-2</v>
      </c>
      <c r="F69">
        <f t="shared" ref="F69:F83" si="15">0.5*9.81*((D69*0.5)^2)</f>
        <v>1.0083285017999998E-2</v>
      </c>
      <c r="H69">
        <f t="shared" ref="H69:H83" si="16">F69*10^2</f>
        <v>1.0083285017999999</v>
      </c>
    </row>
    <row r="70" spans="1:11" x14ac:dyDescent="0.2">
      <c r="A70" t="s">
        <v>17</v>
      </c>
      <c r="B70">
        <f>87852*10^-5</f>
        <v>0.87852000000000008</v>
      </c>
      <c r="D70">
        <f t="shared" si="14"/>
        <v>5.4769999999999985E-2</v>
      </c>
      <c r="F70">
        <f t="shared" si="15"/>
        <v>3.678446993624998E-3</v>
      </c>
      <c r="H70">
        <f t="shared" si="16"/>
        <v>0.36784469936249981</v>
      </c>
    </row>
    <row r="71" spans="1:11" x14ac:dyDescent="0.2">
      <c r="A71" t="s">
        <v>25</v>
      </c>
      <c r="B71">
        <f>93329*10^-5</f>
        <v>0.93329000000000006</v>
      </c>
      <c r="D71">
        <f t="shared" si="14"/>
        <v>3.8009999999999988E-2</v>
      </c>
      <c r="F71">
        <f t="shared" si="15"/>
        <v>1.7716370726249991E-3</v>
      </c>
      <c r="H71">
        <f t="shared" si="16"/>
        <v>0.17716370726249991</v>
      </c>
    </row>
    <row r="72" spans="1:11" x14ac:dyDescent="0.2">
      <c r="A72" t="s">
        <v>26</v>
      </c>
      <c r="B72">
        <f>97130*10^-5</f>
        <v>0.97130000000000005</v>
      </c>
      <c r="D72">
        <f t="shared" si="14"/>
        <v>2.9260000000000064E-2</v>
      </c>
      <c r="F72">
        <f t="shared" si="15"/>
        <v>1.0498509945000047E-3</v>
      </c>
      <c r="H72">
        <f t="shared" si="16"/>
        <v>0.10498509945000047</v>
      </c>
    </row>
    <row r="73" spans="1:11" x14ac:dyDescent="0.2">
      <c r="A73" s="5" t="s">
        <v>27</v>
      </c>
      <c r="B73" s="5">
        <f>100056*10^-5</f>
        <v>1.0005600000000001</v>
      </c>
      <c r="C73" s="5"/>
      <c r="D73" s="5">
        <f t="shared" si="14"/>
        <v>2.4890000000000079E-2</v>
      </c>
      <c r="E73" s="5"/>
      <c r="F73" s="5">
        <f t="shared" si="15"/>
        <v>7.5967671262500483E-4</v>
      </c>
      <c r="G73" s="5"/>
      <c r="H73" s="5">
        <f t="shared" si="16"/>
        <v>7.596767126250048E-2</v>
      </c>
    </row>
    <row r="74" spans="1:11" x14ac:dyDescent="0.2">
      <c r="A74" t="s">
        <v>30</v>
      </c>
      <c r="B74">
        <f>102545*10^-5</f>
        <v>1.0254500000000002</v>
      </c>
      <c r="D74">
        <f t="shared" si="14"/>
        <v>2.2019999999999929E-2</v>
      </c>
      <c r="F74">
        <f t="shared" si="15"/>
        <v>5.9458459049999623E-4</v>
      </c>
      <c r="H74">
        <f t="shared" si="16"/>
        <v>5.9458459049999621E-2</v>
      </c>
    </row>
    <row r="75" spans="1:11" x14ac:dyDescent="0.2">
      <c r="B75">
        <f>104747*10^-5</f>
        <v>1.0474700000000001</v>
      </c>
      <c r="D75">
        <f t="shared" si="14"/>
        <v>1.9179999999999975E-2</v>
      </c>
      <c r="F75">
        <f t="shared" si="15"/>
        <v>4.5110353049999886E-4</v>
      </c>
      <c r="H75">
        <f t="shared" si="16"/>
        <v>4.5110353049999885E-2</v>
      </c>
    </row>
    <row r="76" spans="1:11" x14ac:dyDescent="0.2">
      <c r="B76">
        <f>106665*10^-5</f>
        <v>1.0666500000000001</v>
      </c>
      <c r="D76">
        <f t="shared" si="14"/>
        <v>1.3239999999999919E-2</v>
      </c>
      <c r="F76">
        <f t="shared" si="15"/>
        <v>2.1495868199999734E-4</v>
      </c>
      <c r="H76">
        <f t="shared" si="16"/>
        <v>2.1495868199999733E-2</v>
      </c>
    </row>
    <row r="77" spans="1:11" x14ac:dyDescent="0.2">
      <c r="B77">
        <f>107989*10^-5</f>
        <v>1.07989</v>
      </c>
      <c r="D77">
        <f t="shared" si="14"/>
        <v>1.1640000000000095E-2</v>
      </c>
      <c r="F77">
        <f t="shared" si="15"/>
        <v>1.6614412200000272E-4</v>
      </c>
      <c r="H77">
        <f t="shared" si="16"/>
        <v>1.6614412200000272E-2</v>
      </c>
    </row>
    <row r="78" spans="1:11" x14ac:dyDescent="0.2">
      <c r="B78">
        <f>109153*10^-5</f>
        <v>1.0915300000000001</v>
      </c>
      <c r="D78">
        <f t="shared" si="14"/>
        <v>1.0319999999999885E-2</v>
      </c>
      <c r="F78">
        <f t="shared" si="15"/>
        <v>1.3059856799999708E-4</v>
      </c>
      <c r="H78">
        <f t="shared" si="16"/>
        <v>1.3059856799999707E-2</v>
      </c>
    </row>
    <row r="79" spans="1:11" x14ac:dyDescent="0.2">
      <c r="B79">
        <f>110185*10^-5</f>
        <v>1.10185</v>
      </c>
      <c r="D79">
        <f t="shared" si="14"/>
        <v>9.0700000000001335E-3</v>
      </c>
      <c r="F79">
        <f t="shared" si="15"/>
        <v>1.0087733362500297E-4</v>
      </c>
      <c r="H79">
        <f t="shared" si="16"/>
        <v>1.0087733362500297E-2</v>
      </c>
    </row>
    <row r="80" spans="1:11" x14ac:dyDescent="0.2">
      <c r="B80">
        <f>111092*10^-5</f>
        <v>1.1109200000000001</v>
      </c>
      <c r="D80">
        <f t="shared" si="14"/>
        <v>7.9099999999998616E-3</v>
      </c>
      <c r="F80">
        <f t="shared" si="15"/>
        <v>7.6724132624997321E-5</v>
      </c>
      <c r="H80">
        <f t="shared" si="16"/>
        <v>7.6724132624997323E-3</v>
      </c>
    </row>
    <row r="81" spans="2:8" x14ac:dyDescent="0.2">
      <c r="B81">
        <f>111883*10^-5</f>
        <v>1.11883</v>
      </c>
      <c r="D81">
        <f t="shared" si="14"/>
        <v>6.9200000000000372E-3</v>
      </c>
      <c r="F81">
        <f t="shared" si="15"/>
        <v>5.872069800000064E-5</v>
      </c>
      <c r="H81">
        <f t="shared" si="16"/>
        <v>5.8720698000000642E-3</v>
      </c>
    </row>
    <row r="82" spans="2:8" x14ac:dyDescent="0.2">
      <c r="B82">
        <f>112575*10^-5</f>
        <v>1.12575</v>
      </c>
      <c r="D82">
        <f t="shared" si="14"/>
        <v>6.2299999999999578E-3</v>
      </c>
      <c r="F82">
        <f t="shared" si="15"/>
        <v>4.7594318624999356E-5</v>
      </c>
      <c r="H82">
        <f t="shared" si="16"/>
        <v>4.7594318624999358E-3</v>
      </c>
    </row>
    <row r="83" spans="2:8" x14ac:dyDescent="0.2">
      <c r="B83">
        <f>113198*10^-5</f>
        <v>1.13198</v>
      </c>
      <c r="D83">
        <f t="shared" si="14"/>
        <v>5.3000000000000824E-3</v>
      </c>
      <c r="F83">
        <f t="shared" si="15"/>
        <v>3.4445362500001072E-5</v>
      </c>
      <c r="H83">
        <f t="shared" si="16"/>
        <v>3.4445362500001072E-3</v>
      </c>
    </row>
    <row r="84" spans="2:8" x14ac:dyDescent="0.2">
      <c r="B84">
        <f>113728*10^-5</f>
        <v>1.1372800000000001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nassialo nassialo</dc:creator>
  <cp:lastModifiedBy>nassialo nassialo</cp:lastModifiedBy>
  <dcterms:created xsi:type="dcterms:W3CDTF">2025-11-05T22:21:01Z</dcterms:created>
  <dcterms:modified xsi:type="dcterms:W3CDTF">2025-11-06T11:02:22Z</dcterms:modified>
</cp:coreProperties>
</file>